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7"/>
  <workbookPr codeName="ThisWorkbook"/>
  <mc:AlternateContent xmlns:mc="http://schemas.openxmlformats.org/markup-compatibility/2006">
    <mc:Choice Requires="x15">
      <x15ac:absPath xmlns:x15ac="http://schemas.microsoft.com/office/spreadsheetml/2010/11/ac" url="\\tk2offfsm03\fileshares\TemplateGallery\iOS handoff - US only_Jan 2015\Excel\"/>
    </mc:Choice>
  </mc:AlternateContent>
  <xr:revisionPtr revIDLastSave="14" documentId="8_{85ECC723-06C3-9449-B908-FB7941222831}" xr6:coauthVersionLast="47" xr6:coauthVersionMax="47" xr10:uidLastSave="{8E6EEC3B-EA5F-7242-A579-07A97306D08D}"/>
  <bookViews>
    <workbookView xWindow="0" yWindow="0" windowWidth="23040" windowHeight="8835" activeTab="1" xr2:uid="{00000000-000D-0000-FFFF-FFFF00000000}"/>
  </bookViews>
  <sheets>
    <sheet name="Manage My Money" sheetId="1" r:id="rId1"/>
    <sheet name="Hub City Melanson " sheetId="3" r:id="rId2"/>
    <sheet name="Chart Data" sheetId="2" state="hidden" r:id="rId3"/>
  </sheets>
  <definedNames>
    <definedName name="Total_Monthly_Expenses">'Manage My Money'!$C$6</definedName>
    <definedName name="Total_Monthly_Income">'Manage My Money'!$C$4</definedName>
    <definedName name="Total_Monthly_Savings">'Manage My Money'!$C$8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6" i="1"/>
  <c r="C8" i="1"/>
  <c r="C10" i="1"/>
  <c r="B11" i="1"/>
  <c r="B6" i="2"/>
  <c r="B5" i="2"/>
  <c r="B4" i="2"/>
</calcChain>
</file>

<file path=xl/sharedStrings.xml><?xml version="1.0" encoding="utf-8"?>
<sst xmlns="http://schemas.openxmlformats.org/spreadsheetml/2006/main" count="41" uniqueCount="40">
  <si>
    <t>Monthly Income</t>
  </si>
  <si>
    <t>Item</t>
  </si>
  <si>
    <t>Amount</t>
  </si>
  <si>
    <t>Monthly Expenses</t>
  </si>
  <si>
    <t>Rent/mortgage</t>
  </si>
  <si>
    <t>Electric</t>
  </si>
  <si>
    <t>Gas</t>
  </si>
  <si>
    <t>Cell phone</t>
  </si>
  <si>
    <t>Groceries</t>
  </si>
  <si>
    <t>Car payment</t>
  </si>
  <si>
    <t>Credit cards</t>
  </si>
  <si>
    <t>Auto insurance</t>
  </si>
  <si>
    <t>Miscellaneous</t>
  </si>
  <si>
    <t>Monthly Savings</t>
  </si>
  <si>
    <t>Date</t>
  </si>
  <si>
    <t>% of Income Spent</t>
  </si>
  <si>
    <t>Summary</t>
  </si>
  <si>
    <t>Total Monthly Income</t>
  </si>
  <si>
    <t>Total Monthly Expenses</t>
  </si>
  <si>
    <t>Total Monthly Savings</t>
  </si>
  <si>
    <t>Cash Balance</t>
  </si>
  <si>
    <t>Budget</t>
  </si>
  <si>
    <t>CHART DATA</t>
  </si>
  <si>
    <t>Deposits</t>
  </si>
  <si>
    <t xml:space="preserve">Progress Payments </t>
  </si>
  <si>
    <t xml:space="preserve">Final Payments </t>
  </si>
  <si>
    <t>Medication</t>
  </si>
  <si>
    <t>21st</t>
  </si>
  <si>
    <t>14th</t>
  </si>
  <si>
    <t>7th</t>
  </si>
  <si>
    <t xml:space="preserve">Primer </t>
  </si>
  <si>
    <t>Paint</t>
  </si>
  <si>
    <t>Materials</t>
  </si>
  <si>
    <t>Labour Hours</t>
  </si>
  <si>
    <t>10Gal</t>
  </si>
  <si>
    <t>2Gal</t>
  </si>
  <si>
    <t>Sanding pads</t>
  </si>
  <si>
    <t>26 hrs. Martin &amp; 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</si>
</sst>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10" x14ac:knownFonts="1">
    <font>
      <b/>
      <sz val="12"/>
      <color theme="3" tint="0.39991454817346722"/>
      <name val="Arial"/>
      <family val="2"/>
      <scheme val="minor"/>
    </font>
    <font>
      <b/>
      <sz val="18"/>
      <color theme="3"/>
      <name val="Arial"/>
      <family val="2"/>
      <scheme val="minor"/>
    </font>
    <font>
      <b/>
      <sz val="12"/>
      <color theme="4"/>
      <name val="Arial"/>
      <family val="2"/>
      <scheme val="minor"/>
    </font>
    <font>
      <sz val="12"/>
      <color theme="0"/>
      <name val="Arial"/>
      <family val="2"/>
      <scheme val="minor"/>
    </font>
    <font>
      <b/>
      <sz val="14"/>
      <color theme="4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12"/>
      <color theme="4"/>
      <name val="Arial"/>
      <family val="2"/>
      <scheme val="major"/>
    </font>
    <font>
      <b/>
      <sz val="12"/>
      <color theme="3" tint="0.39991454817346722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8" fillId="0" borderId="0" applyNumberFormat="0" applyFill="0" applyAlignment="0" applyProtection="0"/>
    <xf numFmtId="0" fontId="5" fillId="0" borderId="0" applyNumberFormat="0" applyFill="0" applyProtection="0">
      <alignment horizontal="left"/>
    </xf>
    <xf numFmtId="0" fontId="1" fillId="0" borderId="0" applyNumberFormat="0" applyFill="0" applyAlignment="0" applyProtection="0"/>
  </cellStyleXfs>
  <cellXfs count="12">
    <xf numFmtId="0" fontId="0" fillId="0" borderId="0" xfId="0"/>
    <xf numFmtId="0" fontId="5" fillId="0" borderId="0" xfId="2">
      <alignment horizontal="left"/>
    </xf>
    <xf numFmtId="9" fontId="3" fillId="0" borderId="0" xfId="0" applyNumberFormat="1" applyFont="1"/>
    <xf numFmtId="9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1" applyFont="1" applyAlignment="1">
      <alignment horizontal="left"/>
    </xf>
    <xf numFmtId="9" fontId="9" fillId="0" borderId="0" xfId="0" applyNumberFormat="1" applyFont="1"/>
  </cellXfs>
  <cellStyles count="4">
    <cellStyle name="Heading 1" xfId="2" builtinId="16" customBuiltin="1"/>
    <cellStyle name="Heading 2" xfId="3" builtinId="17" customBuiltin="1"/>
    <cellStyle name="Normal" xfId="0" builtinId="0" customBuiltin="1"/>
    <cellStyle name="Title" xfId="1" builtinId="15" customBuiltin="1"/>
  </cellStyles>
  <dxfs count="10">
    <dxf>
      <font>
        <color theme="5" tint="-0.24994659260841701"/>
      </font>
    </dxf>
    <dxf>
      <numFmt numFmtId="164" formatCode="&quot;$&quot;#,##0.00"/>
      <alignment horizontal="left" vertical="bottom" textRotation="0" wrapText="0" indent="0" justifyLastLine="0" shrinkToFit="0" readingOrder="0"/>
    </dxf>
    <dxf>
      <numFmt numFmtId="166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 tint="0.39991454817346722"/>
        <name val="Arial"/>
        <scheme val="major"/>
      </font>
    </dxf>
    <dxf>
      <numFmt numFmtId="164" formatCode="&quot;$&quot;#,##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 tint="0.39991454817346722"/>
        <name val="Arial"/>
        <scheme val="major"/>
      </font>
    </dxf>
    <dxf>
      <numFmt numFmtId="164" formatCode="&quot;$&quot;#,##0.00"/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4"/>
        <name val="Arial"/>
        <scheme val="major"/>
      </font>
    </dxf>
    <dxf>
      <font>
        <color theme="4"/>
      </font>
    </dxf>
    <dxf>
      <font>
        <b/>
        <i val="0"/>
        <color theme="3" tint="0.39991454817346722"/>
      </font>
    </dxf>
  </dxfs>
  <tableStyles count="1" defaultTableStyle="TableStyleMedium2" defaultPivotStyle="PivotStyleLight16">
    <tableStyle name="BudgetTable" pivot="0" count="2" xr9:uid="{00000000-0011-0000-FFFF-FFFF0000000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67965367965361E-2"/>
          <c:y val="4.61361014994233E-2"/>
          <c:w val="0.83549783549783552"/>
          <c:h val="0.8904267589388696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'Chart Data'!$B$4:$B$5</c:f>
              <c:numCache>
                <c:formatCode>0%</c:formatCode>
                <c:ptCount val="2"/>
                <c:pt idx="0">
                  <c:v>0.25221799746514573</c:v>
                </c:pt>
                <c:pt idx="1">
                  <c:v>0.74778200253485427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1-3E45-81AF-F6AFD6AD3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2346960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B13:C16" headerRowDxfId="7">
  <autoFilter ref="B13:C16" xr:uid="{00000000-0009-0000-0100-000001000000}"/>
  <tableColumns count="2">
    <tableColumn id="1" xr3:uid="{00000000-0010-0000-0000-000001000000}" name="Item" totalsRowLabel="Total"/>
    <tableColumn id="2" xr3:uid="{00000000-0010-0000-0000-000002000000}" name="Amount" totalsRowFunction="sum" dataDxfId="6"/>
  </tableColumns>
  <tableStyleInfo name="Budget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es" displayName="Expenses" ref="B19:C29" totalsRowShown="0" headerRowDxfId="5" headerRowCellStyle="Normal">
  <autoFilter ref="B19:C29" xr:uid="{00000000-0009-0000-0100-000002000000}"/>
  <tableColumns count="2">
    <tableColumn id="1" xr3:uid="{00000000-0010-0000-0100-000001000000}" name="Item"/>
    <tableColumn id="2" xr3:uid="{00000000-0010-0000-0100-000002000000}" name="Amount" dataDxfId="4"/>
  </tableColumns>
  <tableStyleInfo name="Budget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vings" displayName="Savings" ref="B31:C34" totalsRowShown="0" headerRowDxfId="3">
  <autoFilter ref="B31:C34" xr:uid="{00000000-0009-0000-0100-000003000000}"/>
  <tableColumns count="2">
    <tableColumn id="1" xr3:uid="{00000000-0010-0000-0200-000001000000}" name="Date" dataDxfId="2"/>
    <tableColumn id="2" xr3:uid="{00000000-0010-0000-0200-000002000000}" name="Amount" dataDxfId="1"/>
  </tableColumns>
  <tableStyleInfo name="Budget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C34"/>
  <sheetViews>
    <sheetView showGridLines="0" zoomScale="125" zoomScaleNormal="125" workbookViewId="0">
      <selection activeCell="F12" sqref="F12"/>
    </sheetView>
  </sheetViews>
  <sheetFormatPr defaultRowHeight="28.5" customHeight="1" x14ac:dyDescent="0.15"/>
  <cols>
    <col min="1" max="1" width="3.2578125" customWidth="1"/>
    <col min="2" max="2" width="28.54296875" customWidth="1"/>
    <col min="3" max="3" width="20.33984375" customWidth="1"/>
    <col min="4" max="4" width="8.98828125" customWidth="1"/>
  </cols>
  <sheetData>
    <row r="1" spans="2:3" ht="35.25" customHeight="1" x14ac:dyDescent="0.4">
      <c r="B1" s="10" t="s">
        <v>21</v>
      </c>
      <c r="C1" s="1"/>
    </row>
    <row r="2" spans="2:3" ht="37.5" customHeight="1" x14ac:dyDescent="0.25">
      <c r="B2" s="1" t="s">
        <v>15</v>
      </c>
      <c r="C2" s="1" t="s">
        <v>16</v>
      </c>
    </row>
    <row r="3" spans="2:3" ht="30" customHeight="1" x14ac:dyDescent="0.15">
      <c r="B3" s="2"/>
      <c r="C3" t="s">
        <v>17</v>
      </c>
    </row>
    <row r="4" spans="2:3" ht="20.45" customHeight="1" x14ac:dyDescent="0.15">
      <c r="C4" s="6">
        <f>SUM(Income[Amount])</f>
        <v>3156</v>
      </c>
    </row>
    <row r="5" spans="2:3" ht="20.45" customHeight="1" x14ac:dyDescent="0.15">
      <c r="C5" t="s">
        <v>18</v>
      </c>
    </row>
    <row r="6" spans="2:3" ht="20.45" customHeight="1" x14ac:dyDescent="0.15">
      <c r="C6" s="6">
        <f>SUM(Expenses[Amount])</f>
        <v>2360</v>
      </c>
    </row>
    <row r="7" spans="2:3" ht="20.45" customHeight="1" x14ac:dyDescent="0.15">
      <c r="C7" t="s">
        <v>19</v>
      </c>
    </row>
    <row r="8" spans="2:3" ht="20.45" customHeight="1" x14ac:dyDescent="0.15">
      <c r="C8" s="6">
        <f>SUM(Savings[Amount])</f>
        <v>225</v>
      </c>
    </row>
    <row r="9" spans="2:3" ht="20.45" customHeight="1" x14ac:dyDescent="0.15">
      <c r="C9" t="s">
        <v>20</v>
      </c>
    </row>
    <row r="10" spans="2:3" ht="20.45" customHeight="1" x14ac:dyDescent="0.15">
      <c r="C10" s="6">
        <f>Total_Monthly_Income-Total_Monthly_Expenses-Total_Monthly_Savings</f>
        <v>571</v>
      </c>
    </row>
    <row r="11" spans="2:3" ht="22.5" customHeight="1" x14ac:dyDescent="0.15">
      <c r="B11" s="3">
        <f>MIN(Total_Monthly_Expenses/Total_Monthly_Income,1)</f>
        <v>0.74778200253485427</v>
      </c>
    </row>
    <row r="12" spans="2:3" ht="37.5" customHeight="1" x14ac:dyDescent="0.25">
      <c r="B12" s="1" t="s">
        <v>0</v>
      </c>
    </row>
    <row r="13" spans="2:3" ht="24.95" customHeight="1" x14ac:dyDescent="0.15">
      <c r="B13" s="8" t="s">
        <v>1</v>
      </c>
      <c r="C13" s="8" t="s">
        <v>2</v>
      </c>
    </row>
    <row r="14" spans="2:3" ht="24.95" customHeight="1" x14ac:dyDescent="0.15">
      <c r="B14" t="s">
        <v>23</v>
      </c>
      <c r="C14" s="4">
        <v>3156</v>
      </c>
    </row>
    <row r="15" spans="2:3" ht="24.95" customHeight="1" x14ac:dyDescent="0.15">
      <c r="B15" t="s">
        <v>24</v>
      </c>
      <c r="C15" s="4">
        <v>0</v>
      </c>
    </row>
    <row r="16" spans="2:3" ht="24.95" customHeight="1" x14ac:dyDescent="0.15">
      <c r="B16" t="s">
        <v>25</v>
      </c>
      <c r="C16" s="4">
        <v>0</v>
      </c>
    </row>
    <row r="17" spans="2:3" ht="24.95" customHeight="1" x14ac:dyDescent="0.15">
      <c r="C17" s="4"/>
    </row>
    <row r="18" spans="2:3" ht="24.95" customHeight="1" x14ac:dyDescent="0.25">
      <c r="B18" s="1" t="s">
        <v>3</v>
      </c>
    </row>
    <row r="19" spans="2:3" ht="24.95" customHeight="1" x14ac:dyDescent="0.15">
      <c r="B19" s="9" t="s">
        <v>1</v>
      </c>
      <c r="C19" s="9" t="s">
        <v>2</v>
      </c>
    </row>
    <row r="20" spans="2:3" ht="24.95" customHeight="1" x14ac:dyDescent="0.15">
      <c r="B20" t="s">
        <v>4</v>
      </c>
      <c r="C20" s="4">
        <v>1000</v>
      </c>
    </row>
    <row r="21" spans="2:3" ht="24.95" customHeight="1" x14ac:dyDescent="0.15">
      <c r="B21" t="s">
        <v>5</v>
      </c>
      <c r="C21" s="4">
        <v>120</v>
      </c>
    </row>
    <row r="22" spans="2:3" ht="24.95" customHeight="1" x14ac:dyDescent="0.15">
      <c r="B22" t="s">
        <v>6</v>
      </c>
      <c r="C22" s="4">
        <v>225</v>
      </c>
    </row>
    <row r="23" spans="2:3" ht="24.95" customHeight="1" x14ac:dyDescent="0.15">
      <c r="B23" t="s">
        <v>7</v>
      </c>
      <c r="C23" s="4">
        <v>135</v>
      </c>
    </row>
    <row r="24" spans="2:3" ht="24.95" customHeight="1" x14ac:dyDescent="0.15">
      <c r="B24" t="s">
        <v>8</v>
      </c>
      <c r="C24" s="4">
        <v>800</v>
      </c>
    </row>
    <row r="25" spans="2:3" ht="24.95" customHeight="1" x14ac:dyDescent="0.15">
      <c r="B25" t="s">
        <v>9</v>
      </c>
      <c r="C25" s="4">
        <v>0</v>
      </c>
    </row>
    <row r="26" spans="2:3" ht="24.95" customHeight="1" x14ac:dyDescent="0.15">
      <c r="B26" t="s">
        <v>10</v>
      </c>
      <c r="C26" s="4">
        <v>0</v>
      </c>
    </row>
    <row r="27" spans="2:3" ht="24.95" customHeight="1" x14ac:dyDescent="0.15">
      <c r="B27" t="s">
        <v>11</v>
      </c>
      <c r="C27" s="4">
        <v>0</v>
      </c>
    </row>
    <row r="28" spans="2:3" ht="24.95" customHeight="1" x14ac:dyDescent="0.15">
      <c r="B28" t="s">
        <v>12</v>
      </c>
      <c r="C28" s="4">
        <v>0</v>
      </c>
    </row>
    <row r="29" spans="2:3" ht="24.95" customHeight="1" x14ac:dyDescent="0.15">
      <c r="B29" t="s">
        <v>26</v>
      </c>
      <c r="C29" s="4">
        <v>80</v>
      </c>
    </row>
    <row r="30" spans="2:3" ht="24.95" customHeight="1" x14ac:dyDescent="0.25">
      <c r="B30" s="1" t="s">
        <v>13</v>
      </c>
      <c r="C30" s="7"/>
    </row>
    <row r="31" spans="2:3" ht="24.95" customHeight="1" x14ac:dyDescent="0.15">
      <c r="B31" s="9" t="s">
        <v>14</v>
      </c>
      <c r="C31" s="9" t="s">
        <v>2</v>
      </c>
    </row>
    <row r="32" spans="2:3" ht="24.95" customHeight="1" x14ac:dyDescent="0.15">
      <c r="B32" s="5" t="s">
        <v>27</v>
      </c>
      <c r="C32" s="4">
        <v>75</v>
      </c>
    </row>
    <row r="33" spans="2:3" ht="24.95" customHeight="1" x14ac:dyDescent="0.15">
      <c r="B33" s="5" t="s">
        <v>28</v>
      </c>
      <c r="C33" s="4">
        <v>75</v>
      </c>
    </row>
    <row r="34" spans="2:3" ht="24.95" customHeight="1" x14ac:dyDescent="0.15">
      <c r="B34" s="5" t="s">
        <v>29</v>
      </c>
      <c r="C34" s="4">
        <v>75</v>
      </c>
    </row>
  </sheetData>
  <printOptions horizontalCentered="1"/>
  <pageMargins left="0.35" right="0.41" top="0.41" bottom="0.35" header="0.3" footer="0.3"/>
  <pageSetup fitToHeight="0" orientation="portrait" horizontalDpi="4294967293" verticalDpi="0" r:id="rId1"/>
  <headerFooter differentFirst="1">
    <oddFooter>&amp;CPage &amp;P of &amp;N</oddFooter>
  </headerFooter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9B884C1-E439-4719-A03C-9B5F520358C5}">
            <xm:f>'Chart Data'!$B$6</xm:f>
            <x14:dxf>
              <font>
                <color theme="5" tint="-0.24994659260841701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CE58-4652-7C45-A832-25D5BA21DC79}">
  <dimension ref="A1:B4"/>
  <sheetViews>
    <sheetView tabSelected="1" zoomScaleNormal="100" zoomScaleSheetLayoutView="100" workbookViewId="0">
      <selection activeCell="B4" sqref="B4"/>
    </sheetView>
  </sheetViews>
  <sheetFormatPr defaultRowHeight="14.25" x14ac:dyDescent="0.15"/>
  <cols>
    <col min="1" max="1" width="12.6953125" customWidth="1"/>
    <col min="2" max="2" width="16.51953125" customWidth="1"/>
  </cols>
  <sheetData>
    <row r="1" spans="1:2" x14ac:dyDescent="0.15">
      <c r="A1" t="s">
        <v>30</v>
      </c>
      <c r="B1" t="s">
        <v>34</v>
      </c>
    </row>
    <row r="2" spans="1:2" x14ac:dyDescent="0.15">
      <c r="A2" t="s">
        <v>31</v>
      </c>
      <c r="B2" t="s">
        <v>35</v>
      </c>
    </row>
    <row r="3" spans="1:2" x14ac:dyDescent="0.15">
      <c r="A3" t="s">
        <v>32</v>
      </c>
      <c r="B3" t="s">
        <v>36</v>
      </c>
    </row>
    <row r="4" spans="1:2" x14ac:dyDescent="0.15">
      <c r="A4" t="s">
        <v>33</v>
      </c>
      <c r="B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499984740745262"/>
  </sheetPr>
  <dimension ref="B2:B6"/>
  <sheetViews>
    <sheetView showGridLines="0" workbookViewId="0">
      <selection activeCell="B7" sqref="B7"/>
    </sheetView>
  </sheetViews>
  <sheetFormatPr defaultRowHeight="14.25" x14ac:dyDescent="0.15"/>
  <cols>
    <col min="1" max="1" width="1.796875" customWidth="1"/>
  </cols>
  <sheetData>
    <row r="2" spans="2:2" x14ac:dyDescent="0.15">
      <c r="B2" t="s">
        <v>22</v>
      </c>
    </row>
    <row r="4" spans="2:2" x14ac:dyDescent="0.15">
      <c r="B4" s="11">
        <f>MIN(1-B5,1)</f>
        <v>0.25221799746514573</v>
      </c>
    </row>
    <row r="5" spans="2:2" x14ac:dyDescent="0.15">
      <c r="B5" s="11">
        <f>MIN(Total_Monthly_Expenses/Total_Monthly_Income,1)</f>
        <v>0.74778200253485427</v>
      </c>
    </row>
    <row r="6" spans="2:2" x14ac:dyDescent="0.15">
      <c r="B6" t="b">
        <f>(Total_Monthly_Expenses/Total_Monthly_Income)&gt;1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Manage My Money</vt:lpstr>
      <vt:lpstr>Hub City Melanson </vt:lpstr>
      <vt:lpstr>Chart Data</vt:lpstr>
      <vt:lpstr>Total_Monthly_Expenses</vt:lpstr>
      <vt:lpstr>Total_Monthly_Income</vt:lpstr>
      <vt:lpstr>Total_Monthly_Savings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2014-09-09T12:22:13Z</dcterms:created>
  <dcterms:modified xsi:type="dcterms:W3CDTF">2015-01-22T22:19:49Z</dcterms:modified>
</cp:coreProperties>
</file>